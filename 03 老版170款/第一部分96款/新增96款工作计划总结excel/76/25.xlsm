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410"/>
  </bookViews>
  <sheets>
    <sheet name="Sheet1 (2)" sheetId="1" r:id="rId1"/>
  </sheets>
  <calcPr calcId="144525"/>
</workbook>
</file>

<file path=xl/sharedStrings.xml><?xml version="1.0" encoding="utf-8"?>
<sst xmlns="http://schemas.openxmlformats.org/spreadsheetml/2006/main" count="40" uniqueCount="34">
  <si>
    <r>
      <t xml:space="preserve">  工作计划总结（日历版）</t>
    </r>
    <r>
      <rPr>
        <b/>
        <sz val="18"/>
        <color rgb="FF00B0F0"/>
        <rFont val="微软雅黑"/>
        <charset val="134"/>
      </rPr>
      <t xml:space="preserve">
</t>
    </r>
    <r>
      <rPr>
        <sz val="11"/>
        <color theme="1" tint="0.0499893185216834"/>
        <rFont val="微软雅黑"/>
        <charset val="134"/>
      </rPr>
      <t xml:space="preserve">Summary of work plan (calendar edition) </t>
    </r>
  </si>
  <si>
    <t>序号</t>
  </si>
  <si>
    <t>工作名称</t>
  </si>
  <si>
    <t>工作内容</t>
  </si>
  <si>
    <t>重要紧急性</t>
  </si>
  <si>
    <t>计划完成时间</t>
  </si>
  <si>
    <t>实际完成时间</t>
  </si>
  <si>
    <t>完成情况</t>
  </si>
  <si>
    <t>未完成原因</t>
  </si>
  <si>
    <t>绩效及信息化工作规划</t>
  </si>
  <si>
    <t>绩效及信息化工作规划；</t>
  </si>
  <si>
    <t>重要紧急</t>
  </si>
  <si>
    <t>未完成</t>
  </si>
  <si>
    <t>绩效承诺书签订</t>
  </si>
  <si>
    <t>签订完毕所有的绩效承诺书，包括各特殊机构</t>
  </si>
  <si>
    <t>紧急不重要</t>
  </si>
  <si>
    <t>已完成</t>
  </si>
  <si>
    <t>季度考核公文下发及宣导</t>
  </si>
  <si>
    <t>下发季度考核公文，并组织各专业部门进行宣导</t>
  </si>
  <si>
    <t>重要不紧急</t>
  </si>
  <si>
    <t>进行中</t>
  </si>
  <si>
    <t>日</t>
  </si>
  <si>
    <t>一</t>
  </si>
  <si>
    <t>二</t>
  </si>
  <si>
    <t>三</t>
  </si>
  <si>
    <t>四</t>
  </si>
  <si>
    <t>五</t>
  </si>
  <si>
    <t>六</t>
  </si>
  <si>
    <t>绩效承诺书调整准备</t>
  </si>
  <si>
    <t>确定是否需要调整绩效承诺书，如需要进行调整。预计在4月初调整完毕</t>
  </si>
  <si>
    <t>不重要不紧急</t>
  </si>
  <si>
    <t>本文档由稻壳儿奋斗的小青年设计制作，盗版必究。</t>
  </si>
  <si>
    <t>人事信息梳理</t>
  </si>
  <si>
    <t>逐个机构梳理人事信息，并完善，预计4月份完成；以后每半年度梳理一次，保证人事系统中的信息准确。</t>
  </si>
</sst>
</file>

<file path=xl/styles.xml><?xml version="1.0" encoding="utf-8"?>
<styleSheet xmlns="http://schemas.openxmlformats.org/spreadsheetml/2006/main">
  <numFmts count="10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General\ &quot;年&quot;"/>
    <numFmt numFmtId="177" formatCode="[DBNum1]&quot;今&quot;&quot;天&quot;&quot;是&quot;:[$-804]m&quot;月&quot;d&quot;日&quot;;@"/>
    <numFmt numFmtId="178" formatCode="h:mm:ss;@"/>
    <numFmt numFmtId="179" formatCode="General\ &quot;月&quot;"/>
    <numFmt numFmtId="180" formatCode="[$-804]aaa;@"/>
    <numFmt numFmtId="181" formatCode="m&quot;月&quot;d&quot;日&quot;;@"/>
  </numFmts>
  <fonts count="27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28"/>
      <color theme="1" tint="0.0499893185216834"/>
      <name val="微软雅黑"/>
      <charset val="134"/>
    </font>
    <font>
      <b/>
      <sz val="11"/>
      <color theme="1"/>
      <name val="微软雅黑"/>
      <charset val="134"/>
    </font>
    <font>
      <sz val="11"/>
      <color theme="0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rgb="FF00B0F0"/>
      <name val="微软雅黑"/>
      <charset val="134"/>
    </font>
    <font>
      <sz val="11"/>
      <color theme="1" tint="0.0499893185216834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149998474074526"/>
        <bgColor theme="0" tint="-0.149998474074526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6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9" fillId="0" borderId="0" applyFont="0" applyFill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1" fillId="24" borderId="14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16" borderId="11" applyNumberFormat="0" applyFont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15" borderId="10" applyNumberFormat="0" applyAlignment="0" applyProtection="0">
      <alignment vertical="center"/>
    </xf>
    <xf numFmtId="0" fontId="24" fillId="15" borderId="14" applyNumberFormat="0" applyAlignment="0" applyProtection="0">
      <alignment vertical="center"/>
    </xf>
    <xf numFmtId="0" fontId="6" fillId="7" borderId="8" applyNumberForma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178" fontId="1" fillId="2" borderId="2" xfId="0" applyNumberFormat="1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3" xfId="0" applyFont="1" applyFill="1" applyBorder="1"/>
    <xf numFmtId="177" fontId="1" fillId="2" borderId="3" xfId="0" applyNumberFormat="1" applyFont="1" applyFill="1" applyBorder="1" applyAlignment="1">
      <alignment horizontal="left" vertical="top" wrapText="1"/>
    </xf>
    <xf numFmtId="0" fontId="1" fillId="2" borderId="3" xfId="0" applyFont="1" applyFill="1" applyBorder="1"/>
    <xf numFmtId="176" fontId="1" fillId="0" borderId="3" xfId="0" applyNumberFormat="1" applyFont="1" applyFill="1" applyBorder="1" applyAlignment="1">
      <alignment horizontal="left" vertical="center"/>
    </xf>
    <xf numFmtId="179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vertical="center"/>
    </xf>
    <xf numFmtId="180" fontId="1" fillId="2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top"/>
    </xf>
    <xf numFmtId="0" fontId="4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left" vertical="center" wrapText="1"/>
    </xf>
    <xf numFmtId="181" fontId="1" fillId="0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justify" vertical="center" wrapText="1"/>
    </xf>
    <xf numFmtId="181" fontId="1" fillId="2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justify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585F69"/>
      <color rgb="00FFFF99"/>
      <color rgb="0099FF66"/>
      <color rgb="00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</c:spPr>
          </c:dPt>
          <c:dLbls>
            <c:delete val="1"/>
          </c:dLbls>
          <c:cat>
            <c:strRef>
              <c:f>'Sheet1 (2)'!$A$19:$A$20</c:f>
              <c:strCache>
                <c:ptCount val="2"/>
                <c:pt idx="0">
                  <c:v>已完成</c:v>
                </c:pt>
                <c:pt idx="1">
                  <c:v>进行中</c:v>
                </c:pt>
              </c:strCache>
            </c:strRef>
          </c:cat>
          <c:val>
            <c:numRef>
              <c:f>'Sheet1 (2)'!$B$19:$B$20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1"/>
                  </a:solidFill>
                </a:uFill>
                <a:latin typeface="+mn-lt"/>
                <a:ea typeface="微软雅黑" panose="020B0503020204020204" charset="-122"/>
                <a:cs typeface="+mn-cs"/>
              </a:defRPr>
            </a:pPr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1"/>
                  </a:solidFill>
                </a:uFill>
                <a:latin typeface="+mn-lt"/>
                <a:ea typeface="微软雅黑" panose="020B0503020204020204" charset="-122"/>
                <a:cs typeface="+mn-cs"/>
              </a:defRPr>
            </a:pPr>
          </a:p>
        </c:txPr>
      </c:legendEntry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cap="none" spc="0" normalizeH="0" baseline="0">
              <a:solidFill>
                <a:schemeClr val="bg1"/>
              </a:solidFill>
              <a:uFill>
                <a:solidFill>
                  <a:schemeClr val="tx1"/>
                </a:solidFill>
              </a:uFill>
              <a:latin typeface="+mn-lt"/>
              <a:ea typeface="微软雅黑" panose="020B0503020204020204" charset="-122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50000"/>
      </a:schemeClr>
    </a:solidFill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A$5" max="2050" min="1900" page="10" val="2021"/>
</file>

<file path=xl/ctrlProps/ctrlProp2.xml><?xml version="1.0" encoding="utf-8"?>
<formControlPr xmlns="http://schemas.microsoft.com/office/spreadsheetml/2009/9/main" objectType="Spin" dx="16" fmlaLink="$A$5" max="2050" min="1900" page="10" val="202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4</xdr:row>
          <xdr:rowOff>9525</xdr:rowOff>
        </xdr:from>
        <xdr:to>
          <xdr:col>1</xdr:col>
          <xdr:colOff>476250</xdr:colOff>
          <xdr:row>4</xdr:row>
          <xdr:rowOff>304800</xdr:rowOff>
        </xdr:to>
        <xdr:sp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14375" y="1771650"/>
              <a:ext cx="123825" cy="29527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57150</xdr:rowOff>
    </xdr:from>
    <xdr:to>
      <xdr:col>3</xdr:col>
      <xdr:colOff>154832</xdr:colOff>
      <xdr:row>0</xdr:row>
      <xdr:rowOff>676275</xdr:rowOff>
    </xdr:to>
    <xdr:pic>
      <xdr:nvPicPr>
        <xdr:cNvPr id="4" name="图片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1411605" cy="6191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9525</xdr:rowOff>
    </xdr:from>
    <xdr:to>
      <xdr:col>7</xdr:col>
      <xdr:colOff>9525</xdr:colOff>
      <xdr:row>18</xdr:row>
      <xdr:rowOff>19050</xdr:rowOff>
    </xdr:to>
    <xdr:graphicFrame>
      <xdr:nvGraphicFramePr>
        <xdr:cNvPr id="2" name="图表 1"/>
        <xdr:cNvGraphicFramePr/>
      </xdr:nvGraphicFramePr>
      <xdr:xfrm>
        <a:off x="0" y="4781550"/>
        <a:ext cx="2943225" cy="21240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</xdr:row>
          <xdr:rowOff>9525</xdr:rowOff>
        </xdr:from>
        <xdr:to>
          <xdr:col>3</xdr:col>
          <xdr:colOff>361950</xdr:colOff>
          <xdr:row>4</xdr:row>
          <xdr:rowOff>304800</xdr:rowOff>
        </xdr:to>
        <xdr:sp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495425" y="1771650"/>
              <a:ext cx="123825" cy="295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EW68"/>
  <sheetViews>
    <sheetView showGridLines="0" showZeros="0" tabSelected="1" zoomScale="50" zoomScaleNormal="50" workbookViewId="0">
      <selection activeCell="A1" sqref="A1:P18"/>
    </sheetView>
  </sheetViews>
  <sheetFormatPr defaultColWidth="9.125" defaultRowHeight="16.5"/>
  <cols>
    <col min="1" max="7" width="5.5" style="2" customWidth="1"/>
    <col min="8" max="8" width="1" style="2" customWidth="1"/>
    <col min="9" max="9" width="5.5" style="1" customWidth="1"/>
    <col min="10" max="10" width="25.75" style="1" customWidth="1"/>
    <col min="11" max="11" width="51.25" style="1" customWidth="1"/>
    <col min="12" max="16" width="14.5083333333333" style="1" customWidth="1"/>
    <col min="17" max="16384" width="9.125" style="2"/>
  </cols>
  <sheetData>
    <row r="1" ht="57" customHeight="1" spans="1:16">
      <c r="A1" s="3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ht="26.25" customHeight="1" spans="1:16">
      <c r="A2" s="5">
        <f ca="1">NOW()</f>
        <v>44205.8165393519</v>
      </c>
      <c r="B2" s="5"/>
      <c r="C2" s="5"/>
      <c r="D2" s="5"/>
      <c r="E2" s="5"/>
      <c r="F2" s="5"/>
      <c r="G2" s="5"/>
      <c r="H2" s="6"/>
      <c r="I2" s="22" t="s">
        <v>1</v>
      </c>
      <c r="J2" s="22" t="s">
        <v>2</v>
      </c>
      <c r="K2" s="22" t="s">
        <v>3</v>
      </c>
      <c r="L2" s="22" t="s">
        <v>4</v>
      </c>
      <c r="M2" s="22" t="s">
        <v>5</v>
      </c>
      <c r="N2" s="22" t="s">
        <v>6</v>
      </c>
      <c r="O2" s="22" t="s">
        <v>7</v>
      </c>
      <c r="P2" s="22" t="s">
        <v>8</v>
      </c>
    </row>
    <row r="3" ht="27.75" customHeight="1" spans="1:16">
      <c r="A3" s="5"/>
      <c r="B3" s="5"/>
      <c r="C3" s="5"/>
      <c r="D3" s="5"/>
      <c r="E3" s="5"/>
      <c r="F3" s="5"/>
      <c r="G3" s="5"/>
      <c r="H3" s="7"/>
      <c r="I3" s="14">
        <v>1</v>
      </c>
      <c r="J3" s="23" t="s">
        <v>9</v>
      </c>
      <c r="K3" s="24" t="s">
        <v>10</v>
      </c>
      <c r="L3" s="14" t="s">
        <v>11</v>
      </c>
      <c r="M3" s="25">
        <v>44048</v>
      </c>
      <c r="N3" s="25">
        <v>44071</v>
      </c>
      <c r="O3" s="14" t="s">
        <v>12</v>
      </c>
      <c r="P3" s="14"/>
    </row>
    <row r="4" ht="27.75" customHeight="1" spans="1:16">
      <c r="A4" s="8">
        <f ca="1">TODAY()</f>
        <v>44205</v>
      </c>
      <c r="B4" s="8"/>
      <c r="C4" s="8"/>
      <c r="D4" s="8"/>
      <c r="E4" s="8"/>
      <c r="F4" s="8"/>
      <c r="G4" s="8"/>
      <c r="H4" s="9"/>
      <c r="I4" s="15">
        <v>2</v>
      </c>
      <c r="J4" s="15" t="s">
        <v>13</v>
      </c>
      <c r="K4" s="26" t="s">
        <v>14</v>
      </c>
      <c r="L4" s="15" t="s">
        <v>15</v>
      </c>
      <c r="M4" s="27">
        <v>44048</v>
      </c>
      <c r="N4" s="27">
        <v>44071</v>
      </c>
      <c r="O4" s="15" t="s">
        <v>16</v>
      </c>
      <c r="P4" s="15"/>
    </row>
    <row r="5" ht="27.75" customHeight="1" spans="1:16">
      <c r="A5" s="10">
        <v>2021</v>
      </c>
      <c r="B5" s="10">
        <v>1901</v>
      </c>
      <c r="C5" s="11">
        <v>8</v>
      </c>
      <c r="D5" s="11">
        <v>1</v>
      </c>
      <c r="E5" s="12"/>
      <c r="F5" s="12">
        <f>IF(C5=2,IF(OR(A5/400=INT(A5/400),AND(A5/4=INT(A5/4),A5/100&lt;&gt;INT(A5/100))),29,28),IF(OR(C5=4,C5=6,C5=9,C5=11),30,31))</f>
        <v>31</v>
      </c>
      <c r="G5" s="12"/>
      <c r="H5" s="7"/>
      <c r="I5" s="14">
        <v>3</v>
      </c>
      <c r="J5" s="14" t="s">
        <v>17</v>
      </c>
      <c r="K5" s="28" t="s">
        <v>18</v>
      </c>
      <c r="L5" s="14" t="s">
        <v>19</v>
      </c>
      <c r="M5" s="25">
        <v>44048</v>
      </c>
      <c r="N5" s="25">
        <v>44071</v>
      </c>
      <c r="O5" s="14" t="s">
        <v>20</v>
      </c>
      <c r="P5" s="14"/>
    </row>
    <row r="6" ht="35.25" customHeight="1" spans="1:16377">
      <c r="A6" s="13" t="s">
        <v>21</v>
      </c>
      <c r="B6" s="13" t="s">
        <v>22</v>
      </c>
      <c r="C6" s="13" t="s">
        <v>23</v>
      </c>
      <c r="D6" s="13" t="s">
        <v>24</v>
      </c>
      <c r="E6" s="13" t="s">
        <v>25</v>
      </c>
      <c r="F6" s="13" t="s">
        <v>26</v>
      </c>
      <c r="G6" s="13" t="s">
        <v>27</v>
      </c>
      <c r="H6" s="9"/>
      <c r="I6" s="15">
        <v>4</v>
      </c>
      <c r="J6" s="29" t="s">
        <v>28</v>
      </c>
      <c r="K6" s="30" t="s">
        <v>29</v>
      </c>
      <c r="L6" s="15" t="s">
        <v>30</v>
      </c>
      <c r="M6" s="27">
        <v>44048</v>
      </c>
      <c r="N6" s="27">
        <v>44071</v>
      </c>
      <c r="O6" s="15" t="s">
        <v>12</v>
      </c>
      <c r="P6" s="15"/>
      <c r="XEW6" s="17" t="s">
        <v>31</v>
      </c>
    </row>
    <row r="7" s="1" customFormat="1" ht="35.25" customHeight="1" spans="1:16">
      <c r="A7" s="14">
        <f>IF(A62=1,1,0)</f>
        <v>1</v>
      </c>
      <c r="B7" s="14">
        <f t="shared" ref="B7:G7" si="0">IF(A7&gt;0,A7+1,IF(B62=1,1,0))</f>
        <v>2</v>
      </c>
      <c r="C7" s="14">
        <f t="shared" si="0"/>
        <v>3</v>
      </c>
      <c r="D7" s="14">
        <f t="shared" si="0"/>
        <v>4</v>
      </c>
      <c r="E7" s="14">
        <f t="shared" si="0"/>
        <v>5</v>
      </c>
      <c r="F7" s="14">
        <f t="shared" si="0"/>
        <v>6</v>
      </c>
      <c r="G7" s="14">
        <f t="shared" si="0"/>
        <v>7</v>
      </c>
      <c r="H7" s="14"/>
      <c r="I7" s="14">
        <v>5</v>
      </c>
      <c r="J7" s="23" t="s">
        <v>32</v>
      </c>
      <c r="K7" s="31" t="s">
        <v>33</v>
      </c>
      <c r="L7" s="14" t="s">
        <v>11</v>
      </c>
      <c r="M7" s="25">
        <v>44048</v>
      </c>
      <c r="N7" s="25">
        <v>44071</v>
      </c>
      <c r="O7" s="14" t="s">
        <v>16</v>
      </c>
      <c r="P7" s="14"/>
    </row>
    <row r="8" s="1" customFormat="1" ht="27.75" customHeight="1" spans="1:16">
      <c r="A8" s="15">
        <f>G7+1</f>
        <v>8</v>
      </c>
      <c r="B8" s="15">
        <f t="shared" ref="B8:G10" si="1">A8+1</f>
        <v>9</v>
      </c>
      <c r="C8" s="15">
        <f t="shared" si="1"/>
        <v>10</v>
      </c>
      <c r="D8" s="15">
        <f t="shared" si="1"/>
        <v>11</v>
      </c>
      <c r="E8" s="15">
        <f t="shared" si="1"/>
        <v>12</v>
      </c>
      <c r="F8" s="15">
        <f t="shared" si="1"/>
        <v>13</v>
      </c>
      <c r="G8" s="15">
        <f t="shared" si="1"/>
        <v>14</v>
      </c>
      <c r="H8" s="15"/>
      <c r="I8" s="15">
        <v>6</v>
      </c>
      <c r="J8" s="15"/>
      <c r="K8" s="15"/>
      <c r="L8" s="15"/>
      <c r="M8" s="27"/>
      <c r="N8" s="27"/>
      <c r="O8" s="15"/>
      <c r="P8" s="15"/>
    </row>
    <row r="9" s="1" customFormat="1" ht="27.75" customHeight="1" spans="1:16323">
      <c r="A9" s="14">
        <f>G8+1</f>
        <v>15</v>
      </c>
      <c r="B9" s="14">
        <f t="shared" si="1"/>
        <v>16</v>
      </c>
      <c r="C9" s="14">
        <f t="shared" si="1"/>
        <v>17</v>
      </c>
      <c r="D9" s="14">
        <f t="shared" si="1"/>
        <v>18</v>
      </c>
      <c r="E9" s="14">
        <f t="shared" si="1"/>
        <v>19</v>
      </c>
      <c r="F9" s="14">
        <f t="shared" si="1"/>
        <v>20</v>
      </c>
      <c r="G9" s="14">
        <f t="shared" si="1"/>
        <v>21</v>
      </c>
      <c r="H9" s="14"/>
      <c r="I9" s="14">
        <v>7</v>
      </c>
      <c r="J9" s="14"/>
      <c r="K9" s="14"/>
      <c r="L9" s="14"/>
      <c r="M9" s="25"/>
      <c r="N9" s="25"/>
      <c r="O9" s="14"/>
      <c r="P9" s="14"/>
      <c r="XCU9" s="32" t="s">
        <v>31</v>
      </c>
    </row>
    <row r="10" s="1" customFormat="1" ht="27.75" customHeight="1" spans="1:16">
      <c r="A10" s="15">
        <f>G9+1</f>
        <v>22</v>
      </c>
      <c r="B10" s="15">
        <f t="shared" si="1"/>
        <v>23</v>
      </c>
      <c r="C10" s="15">
        <f t="shared" si="1"/>
        <v>24</v>
      </c>
      <c r="D10" s="15">
        <f t="shared" si="1"/>
        <v>25</v>
      </c>
      <c r="E10" s="15">
        <f t="shared" si="1"/>
        <v>26</v>
      </c>
      <c r="F10" s="15">
        <f t="shared" si="1"/>
        <v>27</v>
      </c>
      <c r="G10" s="15">
        <f t="shared" si="1"/>
        <v>28</v>
      </c>
      <c r="H10" s="15"/>
      <c r="I10" s="15">
        <v>8</v>
      </c>
      <c r="J10" s="15"/>
      <c r="K10" s="15"/>
      <c r="L10" s="15"/>
      <c r="M10" s="27"/>
      <c r="N10" s="27"/>
      <c r="O10" s="15"/>
      <c r="P10" s="15"/>
    </row>
    <row r="11" s="1" customFormat="1" ht="27.75" customHeight="1" spans="1:16">
      <c r="A11" s="14">
        <f>IF(G10+1&gt;$F$5,0,G10+1)</f>
        <v>29</v>
      </c>
      <c r="B11" s="14">
        <f t="shared" ref="B11:G12" si="2">IF(A11=0,0,IF(A11+1&gt;$F$5,0,A11+1))</f>
        <v>30</v>
      </c>
      <c r="C11" s="14">
        <f t="shared" si="2"/>
        <v>31</v>
      </c>
      <c r="D11" s="14">
        <f t="shared" si="2"/>
        <v>0</v>
      </c>
      <c r="E11" s="14">
        <f t="shared" si="2"/>
        <v>0</v>
      </c>
      <c r="F11" s="14">
        <f t="shared" si="2"/>
        <v>0</v>
      </c>
      <c r="G11" s="14">
        <f t="shared" si="2"/>
        <v>0</v>
      </c>
      <c r="H11" s="14"/>
      <c r="I11" s="14">
        <v>9</v>
      </c>
      <c r="J11" s="14"/>
      <c r="K11" s="14"/>
      <c r="L11" s="14"/>
      <c r="M11" s="25"/>
      <c r="N11" s="25"/>
      <c r="O11" s="14"/>
      <c r="P11" s="14"/>
    </row>
    <row r="12" s="1" customFormat="1" ht="27.75" customHeight="1" spans="1:16">
      <c r="A12" s="15">
        <f>IF(G11=0,0,IF(G11+1&gt;$F$5,0,G11+1))</f>
        <v>0</v>
      </c>
      <c r="B12" s="15">
        <f t="shared" si="2"/>
        <v>0</v>
      </c>
      <c r="C12" s="15">
        <f t="shared" si="2"/>
        <v>0</v>
      </c>
      <c r="D12" s="15">
        <f t="shared" si="2"/>
        <v>0</v>
      </c>
      <c r="E12" s="15">
        <f t="shared" si="2"/>
        <v>0</v>
      </c>
      <c r="F12" s="15">
        <f t="shared" si="2"/>
        <v>0</v>
      </c>
      <c r="G12" s="15">
        <f t="shared" si="2"/>
        <v>0</v>
      </c>
      <c r="H12" s="15"/>
      <c r="I12" s="15">
        <v>10</v>
      </c>
      <c r="J12" s="15"/>
      <c r="K12" s="15"/>
      <c r="L12" s="15"/>
      <c r="M12" s="27"/>
      <c r="N12" s="27"/>
      <c r="O12" s="15"/>
      <c r="P12" s="15"/>
    </row>
    <row r="13" ht="27.75" customHeight="1" spans="1:16">
      <c r="A13" s="16"/>
      <c r="B13" s="16"/>
      <c r="C13" s="16"/>
      <c r="D13" s="16"/>
      <c r="E13" s="16"/>
      <c r="F13" s="16"/>
      <c r="G13" s="16"/>
      <c r="H13" s="7"/>
      <c r="I13" s="14">
        <v>11</v>
      </c>
      <c r="J13" s="14"/>
      <c r="K13" s="14"/>
      <c r="L13" s="14"/>
      <c r="M13" s="25"/>
      <c r="N13" s="25"/>
      <c r="O13" s="14"/>
      <c r="P13" s="14"/>
    </row>
    <row r="14" ht="27.75" customHeight="1" spans="1:16">
      <c r="A14" s="16"/>
      <c r="B14" s="16"/>
      <c r="C14" s="16"/>
      <c r="D14" s="16"/>
      <c r="E14" s="16"/>
      <c r="F14" s="16"/>
      <c r="G14" s="16"/>
      <c r="H14" s="9"/>
      <c r="I14" s="15">
        <v>12</v>
      </c>
      <c r="J14" s="15"/>
      <c r="K14" s="15"/>
      <c r="L14" s="15"/>
      <c r="M14" s="27"/>
      <c r="N14" s="27"/>
      <c r="O14" s="15"/>
      <c r="P14" s="15"/>
    </row>
    <row r="15" ht="27.75" customHeight="1" spans="1:16">
      <c r="A15" s="16"/>
      <c r="B15" s="16"/>
      <c r="C15" s="16"/>
      <c r="D15" s="16"/>
      <c r="E15" s="16"/>
      <c r="F15" s="16"/>
      <c r="G15" s="16"/>
      <c r="H15" s="7"/>
      <c r="I15" s="14">
        <v>13</v>
      </c>
      <c r="J15" s="14"/>
      <c r="K15" s="14"/>
      <c r="L15" s="14"/>
      <c r="M15" s="25"/>
      <c r="N15" s="25"/>
      <c r="O15" s="14"/>
      <c r="P15" s="14"/>
    </row>
    <row r="16" ht="27.75" customHeight="1" spans="1:16">
      <c r="A16" s="16"/>
      <c r="B16" s="16"/>
      <c r="C16" s="16"/>
      <c r="D16" s="16"/>
      <c r="E16" s="16"/>
      <c r="F16" s="16"/>
      <c r="G16" s="16"/>
      <c r="H16" s="9"/>
      <c r="I16" s="15">
        <v>14</v>
      </c>
      <c r="J16" s="15"/>
      <c r="K16" s="15"/>
      <c r="L16" s="15"/>
      <c r="M16" s="27"/>
      <c r="N16" s="27"/>
      <c r="O16" s="15"/>
      <c r="P16" s="15"/>
    </row>
    <row r="17" ht="27.75" customHeight="1" spans="1:16">
      <c r="A17" s="7"/>
      <c r="B17" s="7"/>
      <c r="C17" s="7"/>
      <c r="D17" s="7"/>
      <c r="E17" s="7"/>
      <c r="F17" s="7"/>
      <c r="G17" s="7"/>
      <c r="H17" s="7"/>
      <c r="I17" s="14">
        <v>15</v>
      </c>
      <c r="J17" s="14"/>
      <c r="K17" s="14"/>
      <c r="L17" s="14"/>
      <c r="M17" s="25"/>
      <c r="N17" s="25"/>
      <c r="O17" s="14"/>
      <c r="P17" s="14"/>
    </row>
    <row r="18" ht="27.75" customHeight="1" spans="1:16">
      <c r="A18" s="9"/>
      <c r="B18" s="9"/>
      <c r="C18" s="9"/>
      <c r="D18" s="9"/>
      <c r="E18" s="9"/>
      <c r="F18" s="9"/>
      <c r="G18" s="9"/>
      <c r="H18" s="9"/>
      <c r="I18" s="15">
        <v>16</v>
      </c>
      <c r="J18" s="15"/>
      <c r="K18" s="15"/>
      <c r="L18" s="15"/>
      <c r="M18" s="27"/>
      <c r="N18" s="27"/>
      <c r="O18" s="15"/>
      <c r="P18" s="15"/>
    </row>
    <row r="19" spans="1:2">
      <c r="A19" s="17" t="s">
        <v>16</v>
      </c>
      <c r="B19" s="17">
        <f>COUNTIF(O:O,A19)</f>
        <v>2</v>
      </c>
    </row>
    <row r="20" spans="1:2">
      <c r="A20" s="17" t="s">
        <v>20</v>
      </c>
      <c r="B20" s="17">
        <f>COUNTIF(O:O,A20)</f>
        <v>1</v>
      </c>
    </row>
    <row r="61" ht="22.35" customHeight="1" spans="1:7">
      <c r="A61" s="18">
        <v>7</v>
      </c>
      <c r="B61" s="19">
        <v>1</v>
      </c>
      <c r="C61" s="19">
        <v>2</v>
      </c>
      <c r="D61" s="19">
        <v>3</v>
      </c>
      <c r="E61" s="19">
        <v>4</v>
      </c>
      <c r="F61" s="19">
        <v>5</v>
      </c>
      <c r="G61" s="20">
        <v>6</v>
      </c>
    </row>
    <row r="62" ht="22.35" customHeight="1" spans="1:7">
      <c r="A62" s="21">
        <f t="shared" ref="A62:G62" si="3">IF(WEEKDAY(DATE($A$5,$C$5,1),2)=A61,1,0)</f>
        <v>1</v>
      </c>
      <c r="B62" s="21">
        <f t="shared" si="3"/>
        <v>0</v>
      </c>
      <c r="C62" s="21">
        <f t="shared" si="3"/>
        <v>0</v>
      </c>
      <c r="D62" s="21">
        <f t="shared" si="3"/>
        <v>0</v>
      </c>
      <c r="E62" s="21">
        <f t="shared" si="3"/>
        <v>0</v>
      </c>
      <c r="F62" s="21">
        <f t="shared" si="3"/>
        <v>0</v>
      </c>
      <c r="G62" s="21">
        <f t="shared" si="3"/>
        <v>0</v>
      </c>
    </row>
    <row r="63" spans="1:1">
      <c r="A63" s="17"/>
    </row>
    <row r="68" spans="4:4">
      <c r="D68"/>
    </row>
  </sheetData>
  <mergeCells count="6">
    <mergeCell ref="A1:P1"/>
    <mergeCell ref="A4:G4"/>
    <mergeCell ref="A5:B5"/>
    <mergeCell ref="C5:D5"/>
    <mergeCell ref="A13:G16"/>
    <mergeCell ref="A2:G3"/>
  </mergeCells>
  <conditionalFormatting sqref="A7:G7 A8 C8:G8 B9:G9 A10:G12 A13">
    <cfRule type="cellIs" dxfId="0" priority="1" operator="equal">
      <formula>DAY(TODAY())</formula>
    </cfRule>
  </conditionalFormatting>
  <dataValidations count="2">
    <dataValidation type="list" allowBlank="1" showInputMessage="1" showErrorMessage="1" sqref="L3:L18">
      <formula1>"重要紧急,紧急不重要,重要不紧急,不重要不紧急"</formula1>
    </dataValidation>
    <dataValidation type="list" allowBlank="1" showInputMessage="1" showErrorMessage="1" sqref="O3:O18">
      <formula1>"未完成,已完成,进行中"</formula1>
    </dataValidation>
  </dataValidations>
  <pageMargins left="0.7" right="0.7" top="0.75" bottom="0.75" header="0.3" footer="0.3"/>
  <pageSetup paperSize="9" orientation="portrait" horizontalDpi="300" verticalDpi="300"/>
  <headerFooter>
    <oddHeader>&amp;C&amp;G</oddHeader>
  </headerFooter>
  <drawing r:id="rId1"/>
  <legacyDrawing r:id="rId2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Spinner 1" r:id="rId3">
              <controlPr defaultSize="0">
                <anchor moveWithCells="1" sizeWithCells="1">
                  <from>
                    <xdr:col>1</xdr:col>
                    <xdr:colOff>295275</xdr:colOff>
                    <xdr:row>4</xdr:row>
                    <xdr:rowOff>9525</xdr:rowOff>
                  </from>
                  <to>
                    <xdr:col>1</xdr:col>
                    <xdr:colOff>476250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Spinner 4" r:id="rId4">
              <controlPr defaultSize="0">
                <anchor moveWithCells="1" sizeWithCells="1">
                  <from>
                    <xdr:col>3</xdr:col>
                    <xdr:colOff>238125</xdr:colOff>
                    <xdr:row>4</xdr:row>
                    <xdr:rowOff>9525</xdr:rowOff>
                  </from>
                  <to>
                    <xdr:col>3</xdr:col>
                    <xdr:colOff>361950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2020-08-05T09:34:00Z</dcterms:created>
  <dcterms:modified xsi:type="dcterms:W3CDTF">2021-01-09T11:42:34Z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